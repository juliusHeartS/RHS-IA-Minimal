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julius3005/Downloads/"/>
    </mc:Choice>
  </mc:AlternateContent>
  <xr:revisionPtr revIDLastSave="0" documentId="13_ncr:1_{B723E0A5-6AFC-EA48-BD0A-D68909788084}" xr6:coauthVersionLast="47" xr6:coauthVersionMax="47" xr10:uidLastSave="{00000000-0000-0000-0000-000000000000}"/>
  <bookViews>
    <workbookView xWindow="0" yWindow="660" windowWidth="34560" windowHeight="21680" xr2:uid="{4D67A3B2-BDF1-41A2-ABB9-7A0722FF903A}"/>
  </bookViews>
  <sheets>
    <sheet name="PAHO Data Catalog" sheetId="4" r:id="rId1"/>
  </sheets>
  <definedNames>
    <definedName name="_xlnm._FilterDatabase" localSheetId="0" hidden="1">'PAHO Data Catalog'!$A$1:$AA$1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1" i="4" l="1"/>
  <c r="U19" i="4"/>
  <c r="U20" i="4"/>
  <c r="U14" i="4"/>
  <c r="U15" i="4"/>
  <c r="U16" i="4"/>
  <c r="U17" i="4"/>
  <c r="U18" i="4"/>
  <c r="U2" i="4"/>
  <c r="U3" i="4"/>
  <c r="U4" i="4"/>
  <c r="U5" i="4"/>
  <c r="U6" i="4"/>
  <c r="U7" i="4"/>
  <c r="U8" i="4"/>
  <c r="U9" i="4"/>
  <c r="U10" i="4"/>
  <c r="U11" i="4"/>
  <c r="U12" i="4"/>
  <c r="U13" i="4"/>
</calcChain>
</file>

<file path=xl/sharedStrings.xml><?xml version="1.0" encoding="utf-8"?>
<sst xmlns="http://schemas.openxmlformats.org/spreadsheetml/2006/main" count="324" uniqueCount="204">
  <si>
    <t>ID
paho:identifier</t>
  </si>
  <si>
    <t>Department
dcat:publisher</t>
  </si>
  <si>
    <t>Application Name
dcat:title</t>
  </si>
  <si>
    <t>Description
dcat:description</t>
  </si>
  <si>
    <t>Data owner
paho:dataOwner</t>
  </si>
  <si>
    <t>Data steward (Focal Point)
dcat:contactPoint</t>
  </si>
  <si>
    <t>Data Custodian (Dedicated IT support)
paho:dataCustodian</t>
  </si>
  <si>
    <t>Hosting
paho:hostingEnvironment</t>
  </si>
  <si>
    <t>Access Rights
dcat:accessRights</t>
  </si>
  <si>
    <t>Search tags
dcat:keyword</t>
  </si>
  <si>
    <t>Purpose and Thematic Area
paho:thematicArea</t>
  </si>
  <si>
    <t>Types of Variables
paho:variableTypes</t>
  </si>
  <si>
    <t>Disaggregation Levels
paho:disaggregationLevels</t>
  </si>
  <si>
    <t>Related Database and Denominators
paho:relatedDatabases</t>
  </si>
  <si>
    <t>Reporting Frequency
dcat:frequency</t>
  </si>
  <si>
    <t>Small
paho:smallProject</t>
  </si>
  <si>
    <t>Medium
paho:mediumProject</t>
  </si>
  <si>
    <t>Large
paho:largeProject</t>
  </si>
  <si>
    <t>Extra-Large
paho:xLargeProject</t>
  </si>
  <si>
    <t>Size category
paho:sizeCategory</t>
  </si>
  <si>
    <t>Issued Date
dcterms:issued</t>
  </si>
  <si>
    <t>Modified Date
dcterms:modified</t>
  </si>
  <si>
    <t>on-premises (SQL)</t>
  </si>
  <si>
    <t>Internal</t>
  </si>
  <si>
    <t>2025-07-29</t>
  </si>
  <si>
    <t>Public</t>
  </si>
  <si>
    <t>Yearly</t>
  </si>
  <si>
    <t>Ad-hoc</t>
  </si>
  <si>
    <t>CLAP MUSA Network, Women Assisted for Miscarriage or legal Abortion/Sentinel</t>
  </si>
  <si>
    <t>This is a CouchDB-hosted sentinel surveillance system within the CLAP MUSA Network that monitors women receiving care for miscarriage or legal abortion. The system focuses on maternal, neonatal, and reproductive health, collecting sociodemographic, maternal health, neonatal health, and reproductive health variables. It operates with Total SIP+ disaggregation and connects with databases covering maternal, neonatal, and infant populations as well as reproductive health data. The system updates quarterly (every 3 months) to provide ongoing surveillance of reproductive health outcomes and support maternal health monitoring efforts across the Latin American perinatal health network.</t>
  </si>
  <si>
    <t>Suzanne Serruya</t>
  </si>
  <si>
    <t>Luis Mainero</t>
  </si>
  <si>
    <t>CLAP, CouchDB</t>
  </si>
  <si>
    <t>CLAP MUSA, miscarriage, legal abortion, sentinel surveillance, maternal health, neonatal health, reproductive health, CouchDB, quarterly updates</t>
  </si>
  <si>
    <t>Salud Materna, Salud neonatal, Salud Reproductiva</t>
  </si>
  <si>
    <t>Sociodemographic, maternal health, Neonatal health, Reproductive health</t>
  </si>
  <si>
    <t>Total Sip+</t>
  </si>
  <si>
    <t>Población materna, neonatal, infantil. Salud reproductiva</t>
  </si>
  <si>
    <t>3 months</t>
  </si>
  <si>
    <t>Red de centros Asociados a CLAP - Salud Materna y Salud Perinatal/Sentinel</t>
  </si>
  <si>
    <t>This is a CouchDB-hosted sentinel surveillance system within the Network of Centers Associated with CLAP that monitors maternal and perinatal health. The system focuses on maternal, neonatal, and reproductive health across associated healthcare centers, collecting sociodemographic, maternal health, neonatal health, and reproductive health variables. It operates with Total SIP+ disaggregation and connects with databases covering maternal, neonatal, and infant populations as well as reproductive health data. The system updates quarterly (every 3 months) to provide ongoing surveillance of maternal and perinatal health outcomes through a network of participating healthcare facilities across the Latin American perinatal health collaborative.</t>
  </si>
  <si>
    <t>CLAP network, maternal health, perinatal health, sentinel surveillance, healthcare centers, neonatal health, reproductive health, CouchDB, quarterly updates</t>
  </si>
  <si>
    <t>Registro Regional de vigilancia de anomalías congénitas y enfermedades poco frecuentes</t>
  </si>
  <si>
    <t>This is a multi-platform surveillance system (hosted on on-premises SQL, DHIS2, and PowerBI) that serves as the Regional Registry for surveillance of congenital anomalies and rare diseases. The system strengthens surveillance of adverse perinatal outcomes, particularly congenital defects, to inform decision-making, alert authorities to health emergencies, and evaluate implemented interventions. It focuses on Public health surveillance of birth defects, neonatal health, and perinatal outcomes across the Americas, collecting data on cases and prevalence of congenital anomalies, perinatal outcomes, neonatal sepsis, and other communicable diseases affecting newborns. Data is disaggregated by total cases and ICD-10 diagnostic codes, with annual updates supporting regional surveillance and response efforts for congenital anomalies and rare diseases in newborn populations.</t>
  </si>
  <si>
    <t>Pablo Duran</t>
  </si>
  <si>
    <t>on-premises (SQL), DHIS2, Powerbi</t>
  </si>
  <si>
    <t>congenital anomalies, rare diseases, regional registry, perinatal outcomes, birth defects, neonatal health, Public health surveillance, SQL, DHIS2, PowerBI, ICD-10</t>
  </si>
  <si>
    <t>The system aims to strengthen surveillance of adverse perinatal outcomes, particularly congenital defects, to inform decision-making, alert authorities to health emergencies, and evaluate implemented actions. The thematic area of work is Public health surveillance, with a focus on birth defects, neonatal health, and perinatal outcomes in the Americas.</t>
  </si>
  <si>
    <t>Cases and prevalence of congenital anomalies, perinatal outcomes, neonatal sepsis, and other communicable diseases affecting newborns</t>
  </si>
  <si>
    <t>Total, By CIE-10 code</t>
  </si>
  <si>
    <t>SIP - Sistema de Information Perinatal - Perinatal Information System SIP y SIPplus</t>
  </si>
  <si>
    <t>This is a comprehensive perinatal information system (SIP/SIP Plus) hosted on CLAP CouchDB and PowerBI that serves as the PAHO standard for clinical recording of maternal and newborn healthcare. The web-based system includes modules for basic care, severe maternal morbidity monitoring, newborn care, congenital anomaly registry, abortion care, and respiratory infections during pregnancy. It collects sociodemographic, maternal, neonatal, and reproductive health data with quarterly updates, featuring analytical tools that generate automatic reports on indicators, disease burden, and outcomes to support regional perinatal health surveillance and program monitoring.</t>
  </si>
  <si>
    <t>Giselle Tomaso</t>
  </si>
  <si>
    <t>perinatal information system, SIP, SIP Plus, PAHO standard, maternal health, newborn care, severe maternal morbidity, near miss, congenital anomaly registry, CouchDB, PowerBI</t>
  </si>
  <si>
    <t>3 years</t>
  </si>
  <si>
    <t>Excel</t>
  </si>
  <si>
    <t>PAHO-HSS-001</t>
  </si>
  <si>
    <t>HSS</t>
  </si>
  <si>
    <t>YouthSpeak360</t>
  </si>
  <si>
    <t>This is an integrated digital initiative developed through collaboration between PAHO and Cell-Ed that focuses on youth and adolescent health strategies and programs. YouthSpeak 360 reaches youth populations to gather information about their health situations and lived experiences, then collates and presents this data to stakeholders for developing effective health responses. The platform serves as a comprehensive resource for understanding youth health needs and designing programs that respond to their specific requirements, supporting evidence-based youth health programming across the region through direct youth engagement and data collection.</t>
  </si>
  <si>
    <t>James Fitzgerald</t>
  </si>
  <si>
    <t>Oscar San Roman</t>
  </si>
  <si>
    <t>Virtual Campus VCPH</t>
  </si>
  <si>
    <t>Virtual Campus (MySQL)</t>
  </si>
  <si>
    <t>YouthSpeak 360, youth health, adolescent health, PAHO, Cell-Ed, digital initiative, youth engagement, lived experiences</t>
  </si>
  <si>
    <t>For regional youth and adolescent health strategies and programs to be successful, it is crucial to have a current and relevant understanding of the health situation being faced by them. Youth and adolescent voices are also important to get a better understanding of their lived experiences and design health programs that respond to their needs. YouthSpeak 360 is an integrated digital initiative that reaches youth, gathers information from them, and collates and presents the data on this website for youth serving stakeholders to utilize to develop an effective response. YouthSpeak 360 has been designed and developed as a collaboration between the Pan American Health Organization (PAHO) and Cell-Ed, a global social impact organization, along with inputs from key stakeholders and youth experts in the region.</t>
  </si>
  <si>
    <t>PAHO-HSS-002</t>
  </si>
  <si>
    <t>Health financing progress matrix (HFPM)</t>
  </si>
  <si>
    <t>This is a WHO-hosted system that tracks health financing progress through the Health Financing Progress Matrix (HFPM). The system monitors health financing mechanisms and their implementation at national and subnational levels. Data collection and updates occur based on individual country requests rather than a fixed schedule, allowing for flexible assessment of health financing system development and progress tailored to specific country needs and timelines.</t>
  </si>
  <si>
    <t>Claudia Pescetto</t>
  </si>
  <si>
    <t>WHO</t>
  </si>
  <si>
    <t>health financing, HFPM, WHO, financing mechanisms, national level, subnational level, country requests</t>
  </si>
  <si>
    <t>Health Financing</t>
  </si>
  <si>
    <t>Health Financing mechanisms</t>
  </si>
  <si>
    <t>National, sub national</t>
  </si>
  <si>
    <t>Per country request</t>
  </si>
  <si>
    <t>PAHO-HSS-003</t>
  </si>
  <si>
    <t>Migración y Salud</t>
  </si>
  <si>
    <t>This is an on-premises SQL database system dedicated to migration and health documentation and policy monitoring. The system manages and organizes policies, laws, and technical documents related to migration and health issues, serving as a centralized repository for legal frameworks, policy guidelines, and technical resources that address the health needs and challenges of migrant populations.</t>
  </si>
  <si>
    <t>Ernesto Bascolo</t>
  </si>
  <si>
    <t>migration, health, policies, laws, technical documents, migrant populations, SQL database, on-premises</t>
  </si>
  <si>
    <t>Policies, laws, technical documents on migration and health</t>
  </si>
  <si>
    <t>PAHO-HSS-004</t>
  </si>
  <si>
    <t>Indicators for Health Systems Based on Primary Health Care</t>
  </si>
  <si>
    <t>This is an on-premises SQL and Power BI-hosted system that monitors indicators for health systems based on Primary Health Care (PHC). The system measures PHC capacity strengthening by evaluating structural aspects and critical resources including governance, financing, human resources for health, and medicines/health technologies. It tracks progress in establishing integrated health service delivery networks and monitors accessibility, availability, and quality of health services to assess health outcomes and system impact. The indicators align with the 2030 Agenda for Sustainable Development supporting evidence-based PHC system development and monitoring across the region.</t>
  </si>
  <si>
    <t>kelvin Guerrero (out of contract)</t>
  </si>
  <si>
    <t>Primary Health Care, PHC, health systems, indicators, governance, financing, human resources, medicines, health technologies, SQL, Power BI, 2030 Agenda</t>
  </si>
  <si>
    <t>Measuring PHC capacity involves assessing governance, financing, and key health resources like workforce, infrastructure, and technology. Strengthening PHC improves access, quality, and outcomes. Agreed-upon impact indicators, aligned with global goals, are available through PAHO’s PLISA platform.</t>
  </si>
  <si>
    <t>PAHO-HSS-005</t>
  </si>
  <si>
    <t>Herramienta sobre Productividad, Eficiencia, Recursos y Costos (PERC)</t>
  </si>
  <si>
    <t>This is a MySQL-hosted tool on the Virtual Campus platform called PERC (Productivity, Efficiency, Resources and Costs Tool) that monitors costs, productivity, and efficiency in health facilities. The system collects cost and productivity data to evaluate healthcare facility performance and resource utilization, with disaggregation by individual facility, national, and subnational levels. This tool supports health system management by providing insights into operational efficiency and cost-effectiveness across different levels of the healthcare system.</t>
  </si>
  <si>
    <t>PERC, productivity, efficiency, resources, costs, health facilities, Virtual Campus, MySQL, cost analysis, facility performance</t>
  </si>
  <si>
    <t>Monitors costs, productivity and efficiency in health facilities</t>
  </si>
  <si>
    <t>Cost, productivity</t>
  </si>
  <si>
    <t>Facility, National, subnational</t>
  </si>
  <si>
    <t>PAHO-HSS-006</t>
  </si>
  <si>
    <t>VCE</t>
  </si>
  <si>
    <t>This is a quality of care monitoring system (VCE) that tracks quality of health indicators to assess healthcare performance and standards. The system collects quality metrics and performance measures disaggregated at the facility level, enabling evaluation and monitoring of care quality across individual healthcare facilities to support quality improvement initiatives.</t>
  </si>
  <si>
    <t>Miguel Vazquez</t>
  </si>
  <si>
    <t>VCE, quality of care, quality indicators, facility level, healthcare performance, quality improvement</t>
  </si>
  <si>
    <t>Quality of care</t>
  </si>
  <si>
    <t>Quality of Health Indicators</t>
  </si>
  <si>
    <t>Facility</t>
  </si>
  <si>
    <t>PAHO-HSS-007</t>
  </si>
  <si>
    <t>Essential Public Health Functions (EPHF)</t>
  </si>
  <si>
    <t>This is a system that monitors Essential Public Health Functions (EPHF) to assess the core capabilities and performance of Public health systems. The system collects EPHF-related variables and metrics to evaluate Public health infrastructure, capacity, and service delivery at national and subnational levels, supporting the strengthening of Public health systems and ensuring adequate performance of fundamental Public health functions across different administrative levels.</t>
  </si>
  <si>
    <t>Essential Public Health Functions, EPHF, Public health systems, core capabilities, national level, subnational level, Public health infrastructure</t>
  </si>
  <si>
    <t>Essential functions of Public health</t>
  </si>
  <si>
    <t>EPHF</t>
  </si>
  <si>
    <t>National, Subnational, Sex, Age, facility type, ownership, occupation</t>
  </si>
  <si>
    <t>PAHO-HSS-008</t>
  </si>
  <si>
    <t>National Health Accounts</t>
  </si>
  <si>
    <t>This is a National Health Accounts system hosted by national centers that tracks health spending by disease areas and healthcare expenditures across different health conditions. The system monitors financial flows and resource allocation patterns to analyze how healthcare funds are distributed among various disease categories and health interventions. Data on health spending is disaggregated at national and subnational levels, with annual updates to provide comprehensive analysis of healthcare financing patterns, budget allocation effectiveness, and expenditure trends across different disease areas to support health economics analysis, policy development, and resource planning for national health systems.</t>
  </si>
  <si>
    <t>National centers</t>
  </si>
  <si>
    <t>National Health Accounts, health spending, disease areas, healthcare expenditures, financial flows, national centers, annually</t>
  </si>
  <si>
    <t>Health spacing by disease areas</t>
  </si>
  <si>
    <t>National + sub national</t>
  </si>
  <si>
    <t>PAHO-HSS-009</t>
  </si>
  <si>
    <t>National Health Workforce Account (NHWA)</t>
  </si>
  <si>
    <t>This is a WHO-hosted National Health Workforce Account (NHWA) system that monitors and evaluates health workforce stock, distribution, characteristics, flow, education, finance, working conditions, governance, and leadership. The system collects variables including workforce stock, annual inflow, outflow, characteristics, foreign-trained and born workers, graduation levels, and other workforce metrics. Data is disaggregated by national and subnational levels, sex, age, facility type, ownership, and occupation, with information available for 39 countries and territories. It integrates with NHWA PLISA, PAHO Core Indicators, WHO Global Health Observatory, UN SDG, OECD, and UN Population databases, receiving annual updates to support comprehensive health workforce planning and policy development across the region.</t>
  </si>
  <si>
    <t>Benjamin Puertas</t>
  </si>
  <si>
    <t>Ana Paula Cavalcante</t>
  </si>
  <si>
    <t>WHO NHWA</t>
  </si>
  <si>
    <t>NHWA, health workforce, WHO, workforce stock, distribution, characteristics, education, finance, working conditions, governance, 39 countries</t>
  </si>
  <si>
    <t>Monitors and evaluates stock, distribution, characteristics, flow, education, finance, working conditions, governance and leadership.</t>
  </si>
  <si>
    <t>Stock, annual inflow, outflow, characteristics, foreign-trained and born, graduations levels and others</t>
  </si>
  <si>
    <t>National, Subnational, Sex, Age, facility type, ownership, occupation. information available for 39 countries and territories</t>
  </si>
  <si>
    <t>NHWA PLISA, PAHO Core Indicators, WHO, the global health observatory, UNSDG, OECD and U.N. Population</t>
  </si>
  <si>
    <t>PAHO-HSS-010</t>
  </si>
  <si>
    <t>Health Labor Market Analysis (HLMA)</t>
  </si>
  <si>
    <t>This is an Excel-managed Health Labor Market Analysis (HLMA) system that evaluates current market dynamics and supports planning for future workforce needs. The system collects data on workforce stock, distribution, migration patterns, and graduation rates, with disaggregation by sex, age, and sector. Operating on an ad-hoc basis, it currently covers 9 countries (through January 2025) to analyze health labor market trends, workforce mobility, and supply-demand dynamics for strategic health workforce planning and policy development.</t>
  </si>
  <si>
    <t>Yohana Diaz</t>
  </si>
  <si>
    <t>Sebastian Oleas</t>
  </si>
  <si>
    <t>HLMA, health labor market, workforce needs, Excel, workforce stock, distribution, migration, graduation, 9 countries</t>
  </si>
  <si>
    <t>Evaluation of current market dynamics and planning future workforce needs</t>
  </si>
  <si>
    <t>Stock, distribution, migration, graduation</t>
  </si>
  <si>
    <t>Sex, Age, sector</t>
  </si>
  <si>
    <t>PAHO-HSS-011</t>
  </si>
  <si>
    <t>Directory of Schools and Colleges of Nursing in the Region of the Americas</t>
  </si>
  <si>
    <t>This is an on-premises SQL-hosted directory that serves as a virtual resource for nursing education institutions across the Americas, available in English, Spanish, and Portuguese. The system provides access to web portals of government-recognized schools, faculties, and universities that train nursing professionals in the region. It contains variables including country, school/institute name, university name, and website links, with 1639 nursing schools currently registered. Data is disaggregated by country and subregion, with updates performed on demand to maintain current information about nursing education institutions across the Americas.</t>
  </si>
  <si>
    <t>Bruna Moreno</t>
  </si>
  <si>
    <t>nursing education, directory, Americas, nursing schools, virtual resource, English, Spanish, Portuguese, 1639 nursing schools, SQL database</t>
  </si>
  <si>
    <t>The Directory is a virtual resource in English, Spanish, and Portuguese, offering access to the web portals of schools/faculties and universities that train nursing professionals and that are recognized by the governments of the countries of the Region of the Americas.</t>
  </si>
  <si>
    <t>Country, name of School/Institute, name of University, link to website. Currently, 1639 Nursing Schools are registered</t>
  </si>
  <si>
    <t>Country, subregion</t>
  </si>
  <si>
    <t>Update on demand.</t>
  </si>
  <si>
    <t>PAHO-HSS-012</t>
  </si>
  <si>
    <t>Code of practice of the Recruitment of health personnel</t>
  </si>
  <si>
    <t>This is an NRI Database-hosted system that monitors the recruitment of health workers and bilateral agreements through qualitative data collection. The system tracks ethical recruitment practices and policies, with the latest information gathered from 20 countries. Data is disaggregated at national and subnational levels and integrates with NRI WHO Database and NHWA systems. The database is updated every three years to monitor compliance with international codes of practice for health personnel recruitment and assess bilateral agreements between countries regarding health worker mobility and ethical recruitment standards.</t>
  </si>
  <si>
    <t>Mariana Lopes</t>
  </si>
  <si>
    <t>NRI Database</t>
  </si>
  <si>
    <t>health personnel recruitment, code of practice, NRI Database, ethical recruitment, policies, bilateral agreements, WHO, NHWA</t>
  </si>
  <si>
    <t>Monitors recruitment of health workers &amp; bilateral agreements - qualitative data</t>
  </si>
  <si>
    <t>Ethical recruitment, policies. Latest information from 20 countries</t>
  </si>
  <si>
    <t>National and subnational</t>
  </si>
  <si>
    <t>NRI WHO DB, , NHWA</t>
  </si>
  <si>
    <t>Isabel Dure</t>
  </si>
  <si>
    <t>Rodolfo Federico Gomez Ponce de Leon</t>
  </si>
  <si>
    <t>URL
dcat:landingPage</t>
  </si>
  <si>
    <t>https://www.sipplus.org/</t>
  </si>
  <si>
    <t xml:space="preserve">https://www.paho.org/en/migration-and-health-americas/health-and-migration-americas-information-platform </t>
  </si>
  <si>
    <t>https://www.paho.org/en/tablero-indicadores-aps/dashboard-indicators-health-systems-based-primary-health-care</t>
  </si>
  <si>
    <t>https://apps.who.int/nhwaportal/</t>
  </si>
  <si>
    <t>Intelligent Chatbot for Help Desk and Course Guidance – CVSP</t>
  </si>
  <si>
    <t>PAHO-HSS-013</t>
  </si>
  <si>
    <t>This project aims to replace the current option-based chatbot (HappyFox) with an intelligent conversational assistant that utilizes natural language processing (AI) and a Retrieval-Augmented Generation (RAG) architecture. The new chatbot will enable users to interact using natural language to resolve technical issues and inquire about free courses available on our platforms.</t>
  </si>
  <si>
    <t>Gabriel Listovsky</t>
  </si>
  <si>
    <t>2026-06-25</t>
  </si>
  <si>
    <t>PAHO-HSS-014</t>
  </si>
  <si>
    <t>PAHO-HSS-015</t>
  </si>
  <si>
    <t>PAHO-HSS-016</t>
  </si>
  <si>
    <t>PAHO-HSS-017</t>
  </si>
  <si>
    <t>Repository of Rare Diseases</t>
  </si>
  <si>
    <t>PAHO-HSS-018</t>
  </si>
  <si>
    <t>Repositorio de Mortalidad Materna Extremadamente Grave</t>
  </si>
  <si>
    <t>PAHO-HSS-019</t>
  </si>
  <si>
    <t xml:space="preserve">Un repositorio basado en DHIS2 que permite recopilar información de los países relacionada con casos de Morbilidad Materna Extrenadamente Grave Near Miss. </t>
  </si>
  <si>
    <t>Germán Gallego</t>
  </si>
  <si>
    <t>DHIS2 (BIREME)</t>
  </si>
  <si>
    <t>Un repositorio basado en DHIS2 que permite recopilar información de los países relacionada con casos de Enfermedades Raras</t>
  </si>
  <si>
    <t>Guillermo Macías</t>
  </si>
  <si>
    <t>Near Miss, Maternidad Materna extremadamente grave</t>
  </si>
  <si>
    <t>Rare Diseases</t>
  </si>
  <si>
    <t>Cases</t>
  </si>
  <si>
    <t>Age, residency, ethnia, education level, Causes</t>
  </si>
  <si>
    <t>Cause of Disease Cie-10</t>
  </si>
  <si>
    <t>Cases, Women in fertile age, births, maternal mortality</t>
  </si>
  <si>
    <t>2026-06-26</t>
  </si>
  <si>
    <t>A DHIS2-based repository that enables the collection of country-level data on cases of severe maternal morbidity (near-miss).</t>
  </si>
  <si>
    <t>A DHIS2-based repository that enables the collection of country-level information regarding rare disease cases.</t>
  </si>
  <si>
    <t>RHS - IA</t>
  </si>
  <si>
    <t>Pending PAHO identifier</t>
  </si>
  <si>
    <t>RHS-IA is an artificial intelligence platform that supports evidence-informed decision-making for Human Resources for Health by integrating document understanding, knowledge retrieval, statistical analysis, simulation, and on-demand forecasting using official data and technical documentation.</t>
  </si>
  <si>
    <t>Health Systems and Services (HSS), Pan American Health Organization (PAHO)</t>
  </si>
  <si>
    <t>To be designated by PAHO</t>
  </si>
  <si>
    <t>To be determined</t>
  </si>
  <si>
    <t>Not yet available</t>
  </si>
  <si>
    <t>Restricted (yet)</t>
  </si>
  <si>
    <t>Human Resources for Health; Artificial Intelligence; Health Workforce; Decision Support; Knowledge Management; Forecasting; Latin America and the Caribbean</t>
  </si>
  <si>
    <t>Support evidence-informed planning and decision-making for Human Resources for Health by integrating knowledge management, data analysis, and on-demand analytical capabilities.</t>
  </si>
  <si>
    <t>Health workforce, demographic, education, labor market, health service, geographic, temporal, and policy variables, including structured datasets and unstructured technical documents.</t>
  </si>
  <si>
    <t>Country, subnational administrative level (where available), profession/occupation, sex, age group, and reporting period.</t>
  </si>
  <si>
    <t>Related databases: PAHO and WHO information systems, national Human Resources for Health information systems, national statistical offices, and other official data sources. Denominators: official reference populations and other denominators defined by the corresponding data source.</t>
  </si>
  <si>
    <t>Varies by 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</si>
</sst>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2" x14ac:knownFonts="1">
    <font>
      <sz val="11"/>
      <color theme="1"/>
      <name val="Calibri"/>
      <family val="2"/>
      <scheme val="minor"/>
    </font>
    <font>
      <b/>
      <sz val="14"/>
      <color theme="1"/>
      <name val="Calibri"/>
      <family val="2"/>
      <scheme val="minor"/>
    </font>
    <font>
      <sz val="8"/>
      <name val="Calibri"/>
      <family val="2"/>
      <scheme val="minor"/>
    </font>
    <font>
      <b/>
      <sz val="18"/>
      <color theme="1"/>
      <name val="Calibri"/>
      <family val="2"/>
      <scheme val="minor"/>
    </font>
    <font>
      <sz val="16"/>
      <color theme="1"/>
      <name val="Calibri"/>
      <family val="2"/>
      <scheme val="minor"/>
    </font>
    <font>
      <b/>
      <sz val="16"/>
      <color theme="1"/>
      <name val="Calibri"/>
      <family val="2"/>
      <scheme val="minor"/>
    </font>
    <font>
      <sz val="14"/>
      <color theme="1"/>
      <name val="Calibri"/>
      <family val="2"/>
      <scheme val="minor"/>
    </font>
    <font>
      <sz val="11"/>
      <name val="Calibri"/>
      <family val="2"/>
      <scheme val="minor"/>
    </font>
    <font>
      <sz val="11"/>
      <name val="Calibri"/>
      <family val="2"/>
    </font>
    <font>
      <sz val="11"/>
      <name val="Calibri"/>
      <family val="2"/>
      <charset val="1"/>
    </font>
    <font>
      <b/>
      <sz val="14"/>
      <name val="Calibri"/>
      <family val="2"/>
      <scheme val="minor"/>
    </font>
    <font>
      <b/>
      <sz val="18"/>
      <name val="Calibri"/>
      <family val="2"/>
      <scheme val="minor"/>
    </font>
    <font>
      <sz val="14"/>
      <name val="Calibri"/>
      <family val="2"/>
      <scheme val="minor"/>
    </font>
    <font>
      <sz val="14"/>
      <color rgb="FFFF0000"/>
      <name val="Calibri"/>
      <family val="2"/>
      <scheme val="minor"/>
    </font>
    <font>
      <b/>
      <sz val="16"/>
      <name val="Calibri"/>
      <family val="2"/>
      <scheme val="minor"/>
    </font>
    <font>
      <b/>
      <sz val="16"/>
      <name val="Calibri"/>
      <family val="2"/>
      <charset val="1"/>
    </font>
    <font>
      <b/>
      <sz val="14"/>
      <color theme="0"/>
      <name val="Calibri"/>
      <family val="2"/>
      <scheme val="minor"/>
    </font>
    <font>
      <sz val="10"/>
      <color theme="1"/>
      <name val="Calibri"/>
      <family val="2"/>
      <scheme val="minor"/>
    </font>
    <font>
      <sz val="10"/>
      <name val="Calibri"/>
      <family val="2"/>
      <scheme val="minor"/>
    </font>
    <font>
      <u/>
      <sz val="11"/>
      <color theme="10"/>
      <name val="Calibri"/>
      <family val="2"/>
      <scheme val="minor"/>
    </font>
    <font>
      <b/>
      <sz val="16"/>
      <color rgb="FF000000"/>
      <name val="Calibri"/>
      <family val="2"/>
    </font>
    <font>
      <b/>
      <sz val="11"/>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style="medium">
        <color indexed="64"/>
      </top>
      <bottom style="medium">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0" fontId="19" fillId="0" borderId="0" applyNumberFormat="0" applyFill="0" applyBorder="0" applyAlignment="0" applyProtection="0"/>
  </cellStyleXfs>
  <cellXfs count="68">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4" fillId="0" borderId="0" xfId="0" applyFont="1"/>
    <xf numFmtId="0" fontId="1" fillId="0" borderId="0" xfId="0" applyFont="1" applyAlignment="1">
      <alignment horizontal="center" vertical="center" wrapText="1"/>
    </xf>
    <xf numFmtId="0" fontId="1" fillId="0" borderId="3" xfId="0" applyFont="1" applyBorder="1" applyAlignment="1">
      <alignment horizontal="center" vertical="center" wrapText="1"/>
    </xf>
    <xf numFmtId="164" fontId="0" fillId="0" borderId="0" xfId="0" applyNumberFormat="1"/>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5" fillId="0" borderId="7" xfId="0" applyFont="1" applyBorder="1" applyAlignment="1">
      <alignment horizontal="center" vertical="center" wrapText="1"/>
    </xf>
    <xf numFmtId="164" fontId="1" fillId="0" borderId="7" xfId="0" applyNumberFormat="1" applyFont="1" applyBorder="1" applyAlignment="1">
      <alignment horizontal="center" vertical="center" wrapText="1"/>
    </xf>
    <xf numFmtId="164" fontId="1" fillId="0" borderId="8" xfId="0" applyNumberFormat="1" applyFont="1" applyBorder="1" applyAlignment="1">
      <alignment horizontal="center" vertical="center" wrapText="1"/>
    </xf>
    <xf numFmtId="0" fontId="7" fillId="0" borderId="0" xfId="0" applyFont="1"/>
    <xf numFmtId="0" fontId="7" fillId="0" borderId="0" xfId="0" applyFont="1" applyAlignment="1">
      <alignment wrapText="1"/>
    </xf>
    <xf numFmtId="0" fontId="10" fillId="0" borderId="2" xfId="0" applyFont="1" applyBorder="1" applyAlignment="1">
      <alignment horizontal="center" vertical="center"/>
    </xf>
    <xf numFmtId="0" fontId="3"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8" fillId="0" borderId="4" xfId="0" applyFont="1" applyBorder="1" applyAlignment="1">
      <alignment horizontal="center" vertical="center" wrapText="1"/>
    </xf>
    <xf numFmtId="0" fontId="6"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7" fillId="0" borderId="2" xfId="0" applyFont="1" applyBorder="1" applyAlignment="1">
      <alignment vertical="center" wrapText="1"/>
    </xf>
    <xf numFmtId="0" fontId="9" fillId="0" borderId="2" xfId="0" applyFont="1" applyBorder="1" applyAlignment="1">
      <alignment vertical="center"/>
    </xf>
    <xf numFmtId="0" fontId="14" fillId="0" borderId="2" xfId="0" applyFont="1" applyBorder="1" applyAlignment="1">
      <alignment vertical="center" wrapText="1"/>
    </xf>
    <xf numFmtId="0" fontId="15" fillId="0" borderId="2" xfId="0" applyFont="1" applyBorder="1" applyAlignment="1">
      <alignment vertical="center" wrapText="1"/>
    </xf>
    <xf numFmtId="0" fontId="4" fillId="0" borderId="0" xfId="0" applyFont="1" applyAlignment="1">
      <alignment wrapText="1"/>
    </xf>
    <xf numFmtId="0" fontId="16" fillId="0" borderId="7" xfId="0" applyFont="1" applyBorder="1" applyAlignment="1">
      <alignment horizontal="center" vertical="center" wrapText="1"/>
    </xf>
    <xf numFmtId="0" fontId="18" fillId="0" borderId="2" xfId="0" applyFont="1" applyBorder="1" applyAlignment="1">
      <alignment wrapText="1"/>
    </xf>
    <xf numFmtId="164" fontId="0" fillId="0" borderId="2" xfId="0" quotePrefix="1" applyNumberFormat="1" applyBorder="1" applyAlignment="1">
      <alignment horizontal="center" vertical="center"/>
    </xf>
    <xf numFmtId="164" fontId="0" fillId="0" borderId="5" xfId="0" quotePrefix="1" applyNumberFormat="1" applyBorder="1" applyAlignment="1">
      <alignment horizontal="center" vertical="center"/>
    </xf>
    <xf numFmtId="0" fontId="18" fillId="0" borderId="0" xfId="0" applyFont="1" applyAlignment="1">
      <alignment vertical="center" wrapText="1"/>
    </xf>
    <xf numFmtId="0" fontId="19" fillId="0" borderId="2" xfId="1" applyBorder="1" applyAlignment="1">
      <alignment horizontal="center" vertical="center" wrapText="1"/>
    </xf>
    <xf numFmtId="0" fontId="20" fillId="0" borderId="5" xfId="0" applyFont="1" applyBorder="1" applyAlignment="1">
      <alignment vertical="center" wrapText="1"/>
    </xf>
    <xf numFmtId="0" fontId="10" fillId="0" borderId="5" xfId="0" applyFont="1" applyBorder="1" applyAlignment="1">
      <alignment horizontal="center" vertical="center"/>
    </xf>
    <xf numFmtId="164" fontId="0" fillId="0" borderId="4" xfId="0" quotePrefix="1" applyNumberFormat="1" applyBorder="1" applyAlignment="1">
      <alignment horizontal="center" vertical="center"/>
    </xf>
    <xf numFmtId="0" fontId="18" fillId="0" borderId="0" xfId="0" applyFont="1" applyAlignment="1">
      <alignment wrapText="1"/>
    </xf>
    <xf numFmtId="0" fontId="17" fillId="0" borderId="0" xfId="0" applyFont="1" applyAlignment="1">
      <alignment wrapText="1"/>
    </xf>
    <xf numFmtId="0" fontId="18" fillId="0" borderId="2" xfId="0" applyFont="1" applyBorder="1" applyAlignment="1">
      <alignment vertical="top" wrapText="1"/>
    </xf>
    <xf numFmtId="0" fontId="6" fillId="0" borderId="2" xfId="1" applyFont="1" applyBorder="1" applyAlignment="1">
      <alignment horizontal="center" vertical="center" wrapText="1"/>
    </xf>
    <xf numFmtId="0" fontId="0" fillId="0" borderId="0" xfId="0" applyFill="1"/>
    <xf numFmtId="0" fontId="20" fillId="0" borderId="9" xfId="0" applyFont="1" applyBorder="1" applyAlignment="1">
      <alignment vertical="center" wrapText="1"/>
    </xf>
    <xf numFmtId="0" fontId="8" fillId="0" borderId="10" xfId="0" applyFont="1" applyBorder="1" applyAlignment="1">
      <alignment horizontal="center" vertical="center" wrapText="1"/>
    </xf>
    <xf numFmtId="0" fontId="11" fillId="0" borderId="12" xfId="0" applyFont="1" applyBorder="1" applyAlignment="1">
      <alignment horizontal="center" vertical="center" wrapText="1"/>
    </xf>
    <xf numFmtId="0" fontId="18" fillId="0" borderId="12" xfId="0" applyFont="1" applyBorder="1" applyAlignment="1">
      <alignment wrapText="1"/>
    </xf>
    <xf numFmtId="0" fontId="12" fillId="0" borderId="12" xfId="0" applyFont="1" applyBorder="1" applyAlignment="1">
      <alignment horizontal="center" vertical="center" wrapText="1"/>
    </xf>
    <xf numFmtId="0" fontId="20" fillId="0" borderId="11" xfId="0" applyFont="1" applyFill="1" applyBorder="1" applyAlignment="1">
      <alignment vertical="center" wrapText="1"/>
    </xf>
    <xf numFmtId="0" fontId="0" fillId="0" borderId="11" xfId="0" applyFill="1" applyBorder="1"/>
    <xf numFmtId="0" fontId="11" fillId="0" borderId="11" xfId="0" applyFont="1" applyFill="1" applyBorder="1" applyAlignment="1">
      <alignment horizontal="center" vertical="center" wrapText="1"/>
    </xf>
    <xf numFmtId="0" fontId="18" fillId="0" borderId="11" xfId="0" applyFont="1" applyFill="1" applyBorder="1" applyAlignment="1">
      <alignment wrapText="1"/>
    </xf>
    <xf numFmtId="0" fontId="12" fillId="0" borderId="11" xfId="0" applyFont="1" applyFill="1" applyBorder="1" applyAlignment="1">
      <alignment horizontal="center" vertical="center" wrapText="1"/>
    </xf>
    <xf numFmtId="0" fontId="21" fillId="0" borderId="11" xfId="0" applyFont="1" applyFill="1" applyBorder="1" applyAlignment="1">
      <alignment vertical="center"/>
    </xf>
    <xf numFmtId="0" fontId="21" fillId="0" borderId="11"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2" xfId="1" applyFont="1" applyBorder="1" applyAlignment="1">
      <alignment horizontal="center" vertical="center" wrapText="1"/>
    </xf>
    <xf numFmtId="0" fontId="18" fillId="0" borderId="12" xfId="0" applyFont="1" applyBorder="1" applyAlignment="1">
      <alignment vertical="top" wrapText="1"/>
    </xf>
    <xf numFmtId="0" fontId="7" fillId="0" borderId="12" xfId="0" applyFont="1" applyBorder="1" applyAlignment="1">
      <alignment vertical="center" wrapText="1"/>
    </xf>
    <xf numFmtId="0" fontId="10" fillId="0" borderId="12" xfId="0" applyFont="1" applyBorder="1" applyAlignment="1">
      <alignment horizontal="center" vertical="center"/>
    </xf>
    <xf numFmtId="0" fontId="10" fillId="0" borderId="9" xfId="0" applyFont="1" applyBorder="1" applyAlignment="1">
      <alignment horizontal="center" vertical="center"/>
    </xf>
    <xf numFmtId="0" fontId="3" fillId="0" borderId="12" xfId="0" applyFont="1" applyBorder="1" applyAlignment="1">
      <alignment horizontal="center" vertical="center" wrapText="1"/>
    </xf>
    <xf numFmtId="164" fontId="0" fillId="0" borderId="10" xfId="0" quotePrefix="1" applyNumberFormat="1" applyBorder="1" applyAlignment="1">
      <alignment horizontal="center" vertical="center"/>
    </xf>
    <xf numFmtId="0" fontId="18" fillId="0" borderId="11" xfId="0" applyFont="1" applyFill="1" applyBorder="1" applyAlignment="1">
      <alignment horizontal="center" vertical="center" wrapText="1"/>
    </xf>
    <xf numFmtId="0" fontId="7" fillId="0" borderId="11" xfId="0" applyFont="1" applyFill="1" applyBorder="1" applyAlignment="1">
      <alignment horizontal="center" wrapText="1"/>
    </xf>
    <xf numFmtId="0" fontId="7" fillId="0" borderId="11" xfId="0" applyFont="1" applyFill="1" applyBorder="1" applyAlignment="1">
      <alignment vertical="center" wrapText="1"/>
    </xf>
    <xf numFmtId="0" fontId="0" fillId="0" borderId="11" xfId="0" applyFill="1" applyBorder="1" applyAlignment="1">
      <alignment horizontal="center" vertical="center"/>
    </xf>
    <xf numFmtId="0" fontId="7" fillId="0" borderId="11" xfId="0" applyFont="1" applyFill="1" applyBorder="1"/>
    <xf numFmtId="0" fontId="10" fillId="0" borderId="11" xfId="0" applyFont="1" applyFill="1" applyBorder="1" applyAlignment="1">
      <alignment horizontal="center" vertical="center"/>
    </xf>
    <xf numFmtId="0" fontId="3" fillId="0" borderId="11" xfId="0" applyFont="1" applyFill="1" applyBorder="1" applyAlignment="1">
      <alignment horizontal="center" vertical="center" wrapText="1"/>
    </xf>
    <xf numFmtId="164" fontId="0" fillId="0" borderId="11" xfId="0" applyNumberFormat="1" applyFill="1" applyBorder="1"/>
  </cellXfs>
  <cellStyles count="2">
    <cellStyle name="Hyperlink" xfId="1" builtinId="8"/>
    <cellStyle name="Normal" xfId="0" builtinId="0"/>
  </cellStyles>
  <dxfs count="28">
    <dxf>
      <font>
        <b/>
        <i val="0"/>
        <color rgb="FF856404"/>
      </font>
      <fill>
        <patternFill>
          <bgColor rgb="FFFFF3CD"/>
        </patternFill>
      </fill>
      <border>
        <left style="thin">
          <color rgb="FF856404"/>
        </left>
        <right style="thin">
          <color rgb="FF856404"/>
        </right>
        <top style="thin">
          <color rgb="FF856404"/>
        </top>
        <bottom style="thin">
          <color rgb="FF856404"/>
        </bottom>
        <vertical/>
        <horizontal/>
      </border>
    </dxf>
    <dxf>
      <font>
        <b/>
        <i val="0"/>
        <color rgb="FF155724"/>
      </font>
      <fill>
        <patternFill>
          <bgColor rgb="FFD4EDDA"/>
        </patternFill>
      </fill>
      <border>
        <vertical/>
        <horizontal/>
      </border>
    </dxf>
    <dxf>
      <font>
        <b/>
        <i val="0"/>
        <color rgb="FF721C24"/>
      </font>
      <fill>
        <patternFill>
          <fgColor rgb="FFF8D7DA"/>
        </patternFill>
      </fill>
      <border>
        <vertical/>
        <horizontal/>
      </border>
    </dxf>
    <dxf>
      <numFmt numFmtId="164" formatCode="[$-F800]dddd\,\ mmmm\ dd\,\ yyyy"/>
      <alignment horizontal="center" vertical="center" textRotation="0" indent="0" justifyLastLine="0" shrinkToFit="0" readingOrder="0"/>
      <border diagonalUp="0" diagonalDown="0" outline="0">
        <left style="thin">
          <color rgb="FF000000"/>
        </left>
        <right/>
        <top style="thin">
          <color rgb="FF000000"/>
        </top>
        <bottom style="thin">
          <color rgb="FF000000"/>
        </bottom>
      </border>
    </dxf>
    <dxf>
      <numFmt numFmtId="164" formatCode="[$-F800]dddd\,\ mmmm\ dd\,\ yyyy"/>
      <alignment horizontal="center" vertical="center" textRotation="0" indent="0" justifyLastLine="0" shrinkToFit="0" readingOrder="0"/>
      <border diagonalUp="0" diagonalDown="0" outline="0">
        <left/>
        <right style="thin">
          <color rgb="FF000000"/>
        </right>
        <top style="thin">
          <color rgb="FF000000"/>
        </top>
        <bottom style="thin">
          <color rgb="FF000000"/>
        </bottom>
      </border>
    </dxf>
    <dxf>
      <font>
        <b/>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4"/>
        <color auto="1"/>
        <name val="Calibri"/>
        <family val="2"/>
        <scheme val="minor"/>
      </font>
      <alignment horizontal="center" vertical="center" textRotation="0" wrapText="0" indent="0" justifyLastLine="0" shrinkToFit="0" readingOrder="0"/>
      <border diagonalUp="0" diagonalDown="0" outline="0">
        <left style="thin">
          <color rgb="FF000000"/>
        </left>
        <right/>
        <top style="thin">
          <color rgb="FF000000"/>
        </top>
        <bottom style="thin">
          <color rgb="FF000000"/>
        </bottom>
      </border>
    </dxf>
    <dxf>
      <font>
        <b/>
        <i val="0"/>
        <strike val="0"/>
        <condense val="0"/>
        <extend val="0"/>
        <outline val="0"/>
        <shadow val="0"/>
        <u val="none"/>
        <vertAlign val="baseline"/>
        <sz val="14"/>
        <color auto="1"/>
        <name val="Calibri"/>
        <family val="2"/>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4"/>
        <color auto="1"/>
        <name val="Calibri"/>
        <family val="2"/>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4"/>
        <color auto="1"/>
        <name val="Calibri"/>
        <family val="2"/>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color auto="1"/>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color auto="1"/>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color auto="1"/>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color auto="1"/>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color auto="1"/>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4"/>
        <name val="Calibri"/>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4"/>
        <name val="Calibri"/>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4"/>
        <name val="Calibri"/>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4"/>
        <name val="Calibri"/>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4"/>
        <name val="Calibri"/>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0"/>
        <name val="Calibri"/>
        <family val="2"/>
        <scheme val="minor"/>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dxf>
    <dxf>
      <font>
        <b/>
        <i val="0"/>
        <strike val="0"/>
        <condense val="0"/>
        <extend val="0"/>
        <outline val="0"/>
        <shadow val="0"/>
        <u val="none"/>
        <vertAlign val="baseline"/>
        <sz val="16"/>
        <color rgb="FF000000"/>
        <name val="Calibri"/>
        <family val="2"/>
        <scheme val="none"/>
      </font>
      <alignment horizontal="general" vertical="center" textRotation="0" wrapText="1" indent="0" justifyLastLine="0" shrinkToFit="0" readingOrder="0"/>
      <border diagonalUp="0" diagonalDown="0" outline="0">
        <left style="thin">
          <color rgb="FF000000"/>
        </left>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colors>
    <mruColors>
      <color rgb="FF721C24"/>
      <color rgb="FFF8D7DA"/>
      <color rgb="FF155724"/>
      <color rgb="FFD4EDDA"/>
      <color rgb="FF856404"/>
      <color rgb="FFFFF3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04C9FD-DA2C-4674-AABC-9C2880A388F0}" name="Table1" displayName="Table1" ref="A1:W20" totalsRowShown="0" headerRowBorderDxfId="27" tableBorderDxfId="26">
  <autoFilter ref="A1:W20" xr:uid="{FF04C9FD-DA2C-4674-AABC-9C2880A388F0}"/>
  <tableColumns count="23">
    <tableColumn id="1" xr3:uid="{E27A7C73-7A0A-4B45-9757-9D56172B8529}" name="Application Name_x000a_dcat:title" dataDxfId="25"/>
    <tableColumn id="23" xr3:uid="{0A8DB281-F7E1-4A01-A3E4-C882B70CB049}" name="ID_x000a_paho:identifier" dataDxfId="24"/>
    <tableColumn id="2" xr3:uid="{49267B48-1CD9-4BCF-988C-E1A9A24E649B}" name="Department_x000a_dcat:publisher" dataDxfId="23"/>
    <tableColumn id="4" xr3:uid="{C34122ED-9AD2-4E7F-A15C-38890C24805F}" name="Description_x000a_dcat:description" dataDxfId="22"/>
    <tableColumn id="5" xr3:uid="{C66CEF35-867D-4372-97AC-C663344121B5}" name="Data owner_x000a_paho:dataOwner" dataDxfId="21"/>
    <tableColumn id="6" xr3:uid="{11CD26F5-289E-4BA3-9662-0C6729E12B26}" name="Data steward (Focal Point)_x000a_dcat:contactPoint" dataDxfId="20"/>
    <tableColumn id="7" xr3:uid="{7171DBE6-4BAA-410F-AC62-B30E4987BCA9}" name="Data Custodian (Dedicated IT support)_x000a_paho:dataCustodian" dataDxfId="19"/>
    <tableColumn id="8" xr3:uid="{E53420DB-B5D0-4D50-9CE6-78995D8F440E}" name="Hosting_x000a_paho:hostingEnvironment" dataDxfId="18"/>
    <tableColumn id="3" xr3:uid="{C9301CD0-5332-4748-BC97-F751B3949098}" name="URL_x000a_dcat:landingPage" dataDxfId="17"/>
    <tableColumn id="9" xr3:uid="{45BAAC55-E8EC-4EF6-A39D-23B0687D8B5D}" name="Access Rights_x000a_dcat:accessRights" dataDxfId="16"/>
    <tableColumn id="10" xr3:uid="{2109B54B-4CCA-40EB-AFE0-89A709DAECE9}" name="Search tags_x000a_dcat:keyword" dataDxfId="15"/>
    <tableColumn id="11" xr3:uid="{52327A51-D0A8-40F5-80F5-DA2E63206CC8}" name="Purpose and Thematic Area_x000a_paho:thematicArea" dataDxfId="14"/>
    <tableColumn id="12" xr3:uid="{E0A1AC41-25D6-4E94-B569-5E1134FDA64A}" name="Types of Variables_x000a_paho:variableTypes" dataDxfId="13"/>
    <tableColumn id="13" xr3:uid="{4A4C6E5D-7395-4F4E-8519-26DD9A5AC979}" name="Disaggregation Levels_x000a_paho:disaggregationLevels" dataDxfId="12"/>
    <tableColumn id="14" xr3:uid="{DDD13617-40E9-48B5-BEC4-1A31FA1394E8}" name="Related Database and Denominators_x000a_paho:relatedDatabases" dataDxfId="11"/>
    <tableColumn id="15" xr3:uid="{14ECB3D1-2672-4544-B511-BCAA45399D9C}" name="Reporting Frequency_x000a_dcat:frequency" dataDxfId="10"/>
    <tableColumn id="16" xr3:uid="{12CC5592-CC04-4D2A-A3CB-A56F96B20249}" name="Small_x000a_paho:smallProject" dataDxfId="9"/>
    <tableColumn id="17" xr3:uid="{771633ED-B12C-4085-BC26-051763D1A975}" name="Medium_x000a_paho:mediumProject" dataDxfId="8"/>
    <tableColumn id="18" xr3:uid="{2AE11775-01F3-40D4-BB13-4F85A94BBE54}" name="Large_x000a_paho:largeProject" dataDxfId="7"/>
    <tableColumn id="19" xr3:uid="{AE226422-0972-4B7C-831D-16BF1BC6DE37}" name="Extra-Large_x000a_paho:xLargeProject" dataDxfId="6"/>
    <tableColumn id="20" xr3:uid="{6FA016C6-DF09-4CE2-B212-9BE52688FAD5}" name="Size category_x000a_paho:sizeCategory" dataDxfId="5">
      <calculatedColumnFormula>IF(Q2=1,"Small",IF(R2=1,"Medium",IF(S2=1,"Large",IF(T2=1,"X-Large",""))))</calculatedColumnFormula>
    </tableColumn>
    <tableColumn id="21" xr3:uid="{571B4055-3543-4326-BACC-11A199D8552D}" name="Issued Date_x000a_dcterms:issued" dataDxfId="4"/>
    <tableColumn id="22" xr3:uid="{EBCDFB03-C168-4EA6-91A0-EED3910DBFC4}" name="Modified Date_x000a_dcterms:modified" dataDxfId="3"/>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aho.org/en/tablero-indicadores-aps/dashboard-indicators-health-systems-based-primary-health-care" TargetMode="External"/><Relationship Id="rId2" Type="http://schemas.openxmlformats.org/officeDocument/2006/relationships/hyperlink" Target="https://www.paho.org/en/migration-and-health-americas/health-and-migration-americas-information-platform" TargetMode="External"/><Relationship Id="rId1" Type="http://schemas.openxmlformats.org/officeDocument/2006/relationships/hyperlink" Target="https://www.sipplus.org/"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https://apps.who.int/nhwaport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19D0-80A1-4FBC-8D3E-47A25355535A}">
  <dimension ref="A1:DC21"/>
  <sheetViews>
    <sheetView tabSelected="1" zoomScaleNormal="100" workbookViewId="0">
      <pane xSplit="1" ySplit="1" topLeftCell="N20" activePane="bottomRight" state="frozen"/>
      <selection pane="topRight" activeCell="B1" sqref="B1"/>
      <selection pane="bottomLeft" activeCell="A3" sqref="A3"/>
      <selection pane="bottomRight" activeCell="P22" sqref="P22"/>
    </sheetView>
  </sheetViews>
  <sheetFormatPr baseColWidth="10" defaultColWidth="8.83203125" defaultRowHeight="21" x14ac:dyDescent="0.25"/>
  <cols>
    <col min="1" max="1" width="22.5" style="25" customWidth="1"/>
    <col min="2" max="2" width="20.5" style="2" customWidth="1"/>
    <col min="3" max="3" width="25.5" style="2" customWidth="1"/>
    <col min="4" max="4" width="55.83203125" style="36" customWidth="1"/>
    <col min="5" max="6" width="21.1640625" style="2" customWidth="1"/>
    <col min="7" max="7" width="32.5" style="2" customWidth="1"/>
    <col min="8" max="9" width="30" style="2" customWidth="1"/>
    <col min="10" max="10" width="20.1640625" style="2" customWidth="1"/>
    <col min="11" max="11" width="38.6640625" style="35" customWidth="1"/>
    <col min="12" max="12" width="47.5" style="13" customWidth="1"/>
    <col min="13" max="13" width="20.1640625" style="13" customWidth="1"/>
    <col min="14" max="14" width="30.83203125" style="13" customWidth="1"/>
    <col min="15" max="15" width="26.1640625" style="13" customWidth="1"/>
    <col min="16" max="16" width="20.1640625" style="13" customWidth="1"/>
    <col min="17" max="18" width="24" style="12" customWidth="1"/>
    <col min="19" max="19" width="21.5" style="12" customWidth="1"/>
    <col min="20" max="20" width="22.6640625" style="12" customWidth="1"/>
    <col min="21" max="21" width="26.1640625" style="3" customWidth="1"/>
    <col min="22" max="22" width="20.83203125" style="6" customWidth="1"/>
    <col min="23" max="23" width="25.5" style="6" customWidth="1"/>
    <col min="24" max="106" width="9.1640625"/>
  </cols>
  <sheetData>
    <row r="1" spans="1:107" s="1" customFormat="1" ht="61" thickBot="1" x14ac:dyDescent="0.25">
      <c r="A1" s="9" t="s">
        <v>2</v>
      </c>
      <c r="B1" s="7" t="s">
        <v>0</v>
      </c>
      <c r="C1" s="8" t="s">
        <v>1</v>
      </c>
      <c r="D1" s="8" t="s">
        <v>3</v>
      </c>
      <c r="E1" s="8" t="s">
        <v>4</v>
      </c>
      <c r="F1" s="8" t="s">
        <v>5</v>
      </c>
      <c r="G1" s="8" t="s">
        <v>6</v>
      </c>
      <c r="H1" s="8" t="s">
        <v>7</v>
      </c>
      <c r="I1" s="8" t="s">
        <v>158</v>
      </c>
      <c r="J1" s="8" t="s">
        <v>8</v>
      </c>
      <c r="K1" s="26" t="s">
        <v>9</v>
      </c>
      <c r="L1" s="26" t="s">
        <v>10</v>
      </c>
      <c r="M1" s="26" t="s">
        <v>11</v>
      </c>
      <c r="N1" s="26" t="s">
        <v>12</v>
      </c>
      <c r="O1" s="26" t="s">
        <v>13</v>
      </c>
      <c r="P1" s="26" t="s">
        <v>14</v>
      </c>
      <c r="Q1" s="26" t="s">
        <v>15</v>
      </c>
      <c r="R1" s="26" t="s">
        <v>16</v>
      </c>
      <c r="S1" s="26" t="s">
        <v>17</v>
      </c>
      <c r="T1" s="26" t="s">
        <v>18</v>
      </c>
      <c r="U1" s="9" t="s">
        <v>19</v>
      </c>
      <c r="V1" s="10" t="s">
        <v>20</v>
      </c>
      <c r="W1" s="11" t="s">
        <v>21</v>
      </c>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5"/>
    </row>
    <row r="2" spans="1:107" ht="240" x14ac:dyDescent="0.2">
      <c r="A2" s="23" t="s">
        <v>58</v>
      </c>
      <c r="B2" s="17" t="s">
        <v>56</v>
      </c>
      <c r="C2" s="16" t="s">
        <v>57</v>
      </c>
      <c r="D2" s="27" t="s">
        <v>59</v>
      </c>
      <c r="E2" s="19" t="s">
        <v>60</v>
      </c>
      <c r="F2" s="19" t="s">
        <v>61</v>
      </c>
      <c r="G2" s="19" t="s">
        <v>62</v>
      </c>
      <c r="H2" s="18" t="s">
        <v>63</v>
      </c>
      <c r="I2" s="18"/>
      <c r="J2" s="18" t="s">
        <v>25</v>
      </c>
      <c r="K2" s="37" t="s">
        <v>64</v>
      </c>
      <c r="L2" s="21" t="s">
        <v>65</v>
      </c>
      <c r="M2" s="21"/>
      <c r="N2" s="21"/>
      <c r="O2" s="21"/>
      <c r="P2" s="21"/>
      <c r="Q2" s="14">
        <v>1</v>
      </c>
      <c r="R2" s="14"/>
      <c r="S2" s="14"/>
      <c r="T2" s="14"/>
      <c r="U2" s="15" t="str">
        <f t="shared" ref="U2:U13" si="0">IF(Q2=1,"Small",IF(R2=1,"Medium",IF(S2=1,"Large",IF(T2=1,"X-Large",""))))</f>
        <v>Small</v>
      </c>
      <c r="V2" s="28" t="s">
        <v>24</v>
      </c>
      <c r="W2" s="29" t="s">
        <v>24</v>
      </c>
    </row>
    <row r="3" spans="1:107" ht="90" x14ac:dyDescent="0.2">
      <c r="A3" s="23" t="s">
        <v>67</v>
      </c>
      <c r="B3" s="17" t="s">
        <v>66</v>
      </c>
      <c r="C3" s="16" t="s">
        <v>57</v>
      </c>
      <c r="D3" s="27" t="s">
        <v>68</v>
      </c>
      <c r="E3" s="19" t="s">
        <v>60</v>
      </c>
      <c r="F3" s="19" t="s">
        <v>69</v>
      </c>
      <c r="G3" s="19"/>
      <c r="H3" s="18" t="s">
        <v>70</v>
      </c>
      <c r="I3" s="18"/>
      <c r="J3" s="18" t="s">
        <v>25</v>
      </c>
      <c r="K3" s="37" t="s">
        <v>71</v>
      </c>
      <c r="L3" s="21" t="s">
        <v>72</v>
      </c>
      <c r="M3" s="21" t="s">
        <v>73</v>
      </c>
      <c r="N3" s="21" t="s">
        <v>74</v>
      </c>
      <c r="O3" s="21"/>
      <c r="P3" s="21" t="s">
        <v>75</v>
      </c>
      <c r="Q3" s="14">
        <v>1</v>
      </c>
      <c r="R3" s="14"/>
      <c r="S3" s="14"/>
      <c r="T3" s="14"/>
      <c r="U3" s="15" t="str">
        <f t="shared" si="0"/>
        <v>Small</v>
      </c>
      <c r="V3" s="28" t="s">
        <v>24</v>
      </c>
      <c r="W3" s="29" t="s">
        <v>24</v>
      </c>
    </row>
    <row r="4" spans="1:107" ht="90" x14ac:dyDescent="0.2">
      <c r="A4" s="23" t="s">
        <v>77</v>
      </c>
      <c r="B4" s="17" t="s">
        <v>76</v>
      </c>
      <c r="C4" s="16" t="s">
        <v>57</v>
      </c>
      <c r="D4" s="27" t="s">
        <v>78</v>
      </c>
      <c r="E4" s="19" t="s">
        <v>60</v>
      </c>
      <c r="F4" s="19" t="s">
        <v>79</v>
      </c>
      <c r="G4" s="19"/>
      <c r="H4" s="18" t="s">
        <v>22</v>
      </c>
      <c r="I4" s="31" t="s">
        <v>160</v>
      </c>
      <c r="J4" s="18" t="s">
        <v>25</v>
      </c>
      <c r="K4" s="37" t="s">
        <v>80</v>
      </c>
      <c r="L4" s="21" t="s">
        <v>81</v>
      </c>
      <c r="M4" s="21"/>
      <c r="N4" s="21"/>
      <c r="O4" s="21"/>
      <c r="P4" s="21"/>
      <c r="Q4" s="14"/>
      <c r="R4" s="14"/>
      <c r="S4" s="14"/>
      <c r="T4" s="14"/>
      <c r="U4" s="15" t="str">
        <f t="shared" si="0"/>
        <v/>
      </c>
      <c r="V4" s="28" t="s">
        <v>24</v>
      </c>
      <c r="W4" s="29" t="s">
        <v>24</v>
      </c>
    </row>
    <row r="5" spans="1:107" ht="135" x14ac:dyDescent="0.2">
      <c r="A5" s="23" t="s">
        <v>83</v>
      </c>
      <c r="B5" s="17" t="s">
        <v>82</v>
      </c>
      <c r="C5" s="16" t="s">
        <v>57</v>
      </c>
      <c r="D5" s="27" t="s">
        <v>84</v>
      </c>
      <c r="E5" s="19" t="s">
        <v>60</v>
      </c>
      <c r="F5" s="19" t="s">
        <v>79</v>
      </c>
      <c r="G5" s="19" t="s">
        <v>85</v>
      </c>
      <c r="H5" s="18" t="s">
        <v>22</v>
      </c>
      <c r="I5" s="31" t="s">
        <v>161</v>
      </c>
      <c r="J5" s="18" t="s">
        <v>25</v>
      </c>
      <c r="K5" s="37" t="s">
        <v>86</v>
      </c>
      <c r="L5" s="21" t="s">
        <v>87</v>
      </c>
      <c r="M5" s="21"/>
      <c r="N5" s="21"/>
      <c r="O5" s="21"/>
      <c r="P5" s="21"/>
      <c r="Q5" s="14"/>
      <c r="R5" s="14"/>
      <c r="S5" s="14"/>
      <c r="T5" s="14"/>
      <c r="U5" s="15" t="str">
        <f t="shared" si="0"/>
        <v/>
      </c>
      <c r="V5" s="28" t="s">
        <v>24</v>
      </c>
      <c r="W5" s="29" t="s">
        <v>24</v>
      </c>
    </row>
    <row r="6" spans="1:107" ht="132" x14ac:dyDescent="0.2">
      <c r="A6" s="23" t="s">
        <v>89</v>
      </c>
      <c r="B6" s="17" t="s">
        <v>88</v>
      </c>
      <c r="C6" s="16" t="s">
        <v>57</v>
      </c>
      <c r="D6" s="27" t="s">
        <v>90</v>
      </c>
      <c r="E6" s="19" t="s">
        <v>60</v>
      </c>
      <c r="F6" s="19" t="s">
        <v>79</v>
      </c>
      <c r="G6" s="19" t="s">
        <v>62</v>
      </c>
      <c r="H6" s="18" t="s">
        <v>63</v>
      </c>
      <c r="I6" s="18"/>
      <c r="J6" s="18" t="s">
        <v>23</v>
      </c>
      <c r="K6" s="37" t="s">
        <v>91</v>
      </c>
      <c r="L6" s="21" t="s">
        <v>92</v>
      </c>
      <c r="M6" s="21" t="s">
        <v>93</v>
      </c>
      <c r="N6" s="21" t="s">
        <v>94</v>
      </c>
      <c r="O6" s="21"/>
      <c r="P6" s="21"/>
      <c r="Q6" s="14"/>
      <c r="R6" s="14"/>
      <c r="S6" s="14"/>
      <c r="T6" s="14"/>
      <c r="U6" s="15" t="str">
        <f t="shared" si="0"/>
        <v/>
      </c>
      <c r="V6" s="28" t="s">
        <v>24</v>
      </c>
      <c r="W6" s="29" t="s">
        <v>24</v>
      </c>
    </row>
    <row r="7" spans="1:107" ht="75" x14ac:dyDescent="0.2">
      <c r="A7" s="23" t="s">
        <v>96</v>
      </c>
      <c r="B7" s="17" t="s">
        <v>95</v>
      </c>
      <c r="C7" s="16" t="s">
        <v>57</v>
      </c>
      <c r="D7" s="27" t="s">
        <v>97</v>
      </c>
      <c r="E7" s="19" t="s">
        <v>60</v>
      </c>
      <c r="F7" s="19"/>
      <c r="G7" s="19" t="s">
        <v>98</v>
      </c>
      <c r="H7" s="18"/>
      <c r="I7" s="18"/>
      <c r="J7" s="18" t="s">
        <v>23</v>
      </c>
      <c r="K7" s="37" t="s">
        <v>99</v>
      </c>
      <c r="L7" s="21" t="s">
        <v>100</v>
      </c>
      <c r="M7" s="21" t="s">
        <v>101</v>
      </c>
      <c r="N7" s="21" t="s">
        <v>102</v>
      </c>
      <c r="O7" s="21"/>
      <c r="P7" s="21"/>
      <c r="Q7" s="14"/>
      <c r="R7" s="14"/>
      <c r="S7" s="14"/>
      <c r="T7" s="14"/>
      <c r="U7" s="15" t="str">
        <f t="shared" si="0"/>
        <v/>
      </c>
      <c r="V7" s="28" t="s">
        <v>24</v>
      </c>
      <c r="W7" s="29" t="s">
        <v>24</v>
      </c>
    </row>
    <row r="8" spans="1:107" ht="105" x14ac:dyDescent="0.2">
      <c r="A8" s="23" t="s">
        <v>104</v>
      </c>
      <c r="B8" s="17" t="s">
        <v>103</v>
      </c>
      <c r="C8" s="16" t="s">
        <v>57</v>
      </c>
      <c r="D8" s="27" t="s">
        <v>105</v>
      </c>
      <c r="E8" s="19" t="s">
        <v>60</v>
      </c>
      <c r="F8" s="19" t="s">
        <v>79</v>
      </c>
      <c r="G8" s="19"/>
      <c r="H8" s="18"/>
      <c r="I8" s="18"/>
      <c r="J8" s="18" t="s">
        <v>25</v>
      </c>
      <c r="K8" s="37" t="s">
        <v>106</v>
      </c>
      <c r="L8" s="21" t="s">
        <v>107</v>
      </c>
      <c r="M8" s="21" t="s">
        <v>108</v>
      </c>
      <c r="N8" s="21" t="s">
        <v>109</v>
      </c>
      <c r="O8" s="21"/>
      <c r="P8" s="21"/>
      <c r="Q8" s="14"/>
      <c r="R8" s="14"/>
      <c r="S8" s="14"/>
      <c r="T8" s="14"/>
      <c r="U8" s="15" t="str">
        <f t="shared" si="0"/>
        <v/>
      </c>
      <c r="V8" s="28" t="s">
        <v>24</v>
      </c>
      <c r="W8" s="29" t="s">
        <v>24</v>
      </c>
    </row>
    <row r="9" spans="1:107" ht="135" x14ac:dyDescent="0.2">
      <c r="A9" s="23" t="s">
        <v>111</v>
      </c>
      <c r="B9" s="17" t="s">
        <v>110</v>
      </c>
      <c r="C9" s="16" t="s">
        <v>57</v>
      </c>
      <c r="D9" s="30" t="s">
        <v>112</v>
      </c>
      <c r="E9" s="19" t="s">
        <v>60</v>
      </c>
      <c r="F9" s="19"/>
      <c r="G9" s="19"/>
      <c r="H9" s="18" t="s">
        <v>113</v>
      </c>
      <c r="I9" s="18"/>
      <c r="J9" s="18" t="s">
        <v>25</v>
      </c>
      <c r="K9" s="37" t="s">
        <v>114</v>
      </c>
      <c r="L9" s="21" t="s">
        <v>115</v>
      </c>
      <c r="M9" s="21"/>
      <c r="N9" s="21" t="s">
        <v>116</v>
      </c>
      <c r="O9" s="21"/>
      <c r="P9" s="21" t="s">
        <v>26</v>
      </c>
      <c r="Q9" s="14"/>
      <c r="R9" s="14"/>
      <c r="S9" s="14"/>
      <c r="T9" s="14"/>
      <c r="U9" s="15" t="str">
        <f t="shared" si="0"/>
        <v/>
      </c>
      <c r="V9" s="28" t="s">
        <v>24</v>
      </c>
      <c r="W9" s="29" t="s">
        <v>24</v>
      </c>
    </row>
    <row r="10" spans="1:107" ht="165" x14ac:dyDescent="0.2">
      <c r="A10" s="24" t="s">
        <v>118</v>
      </c>
      <c r="B10" s="17" t="s">
        <v>117</v>
      </c>
      <c r="C10" s="16" t="s">
        <v>57</v>
      </c>
      <c r="D10" s="27" t="s">
        <v>119</v>
      </c>
      <c r="E10" s="19" t="s">
        <v>120</v>
      </c>
      <c r="F10" s="19" t="s">
        <v>121</v>
      </c>
      <c r="G10" s="19" t="s">
        <v>156</v>
      </c>
      <c r="H10" s="18" t="s">
        <v>122</v>
      </c>
      <c r="I10" s="31" t="s">
        <v>162</v>
      </c>
      <c r="J10" s="18" t="s">
        <v>25</v>
      </c>
      <c r="K10" s="37" t="s">
        <v>123</v>
      </c>
      <c r="L10" s="21" t="s">
        <v>124</v>
      </c>
      <c r="M10" s="21" t="s">
        <v>125</v>
      </c>
      <c r="N10" s="21" t="s">
        <v>126</v>
      </c>
      <c r="O10" s="21" t="s">
        <v>127</v>
      </c>
      <c r="P10" s="21" t="s">
        <v>26</v>
      </c>
      <c r="Q10" s="14">
        <v>1</v>
      </c>
      <c r="R10" s="14"/>
      <c r="S10" s="14"/>
      <c r="T10" s="14"/>
      <c r="U10" s="15" t="str">
        <f t="shared" si="0"/>
        <v>Small</v>
      </c>
      <c r="V10" s="28" t="s">
        <v>24</v>
      </c>
      <c r="W10" s="29" t="s">
        <v>24</v>
      </c>
    </row>
    <row r="11" spans="1:107" ht="120" x14ac:dyDescent="0.2">
      <c r="A11" s="24" t="s">
        <v>129</v>
      </c>
      <c r="B11" s="17" t="s">
        <v>128</v>
      </c>
      <c r="C11" s="16" t="s">
        <v>57</v>
      </c>
      <c r="D11" s="27" t="s">
        <v>130</v>
      </c>
      <c r="E11" s="19" t="s">
        <v>120</v>
      </c>
      <c r="F11" s="19" t="s">
        <v>131</v>
      </c>
      <c r="G11" s="19" t="s">
        <v>132</v>
      </c>
      <c r="H11" s="18" t="s">
        <v>55</v>
      </c>
      <c r="I11" s="18"/>
      <c r="J11" s="18" t="s">
        <v>25</v>
      </c>
      <c r="K11" s="37" t="s">
        <v>133</v>
      </c>
      <c r="L11" s="21" t="s">
        <v>134</v>
      </c>
      <c r="M11" s="21" t="s">
        <v>135</v>
      </c>
      <c r="N11" s="21" t="s">
        <v>136</v>
      </c>
      <c r="O11" s="21" t="s">
        <v>55</v>
      </c>
      <c r="P11" s="21" t="s">
        <v>27</v>
      </c>
      <c r="Q11" s="14">
        <v>1</v>
      </c>
      <c r="R11" s="14"/>
      <c r="S11" s="14"/>
      <c r="T11" s="14"/>
      <c r="U11" s="15" t="str">
        <f t="shared" si="0"/>
        <v>Small</v>
      </c>
      <c r="V11" s="28" t="s">
        <v>24</v>
      </c>
      <c r="W11" s="29" t="s">
        <v>24</v>
      </c>
    </row>
    <row r="12" spans="1:107" ht="135" x14ac:dyDescent="0.2">
      <c r="A12" s="23" t="s">
        <v>138</v>
      </c>
      <c r="B12" s="17" t="s">
        <v>137</v>
      </c>
      <c r="C12" s="16" t="s">
        <v>57</v>
      </c>
      <c r="D12" s="27" t="s">
        <v>139</v>
      </c>
      <c r="E12" s="19" t="s">
        <v>120</v>
      </c>
      <c r="F12" s="19"/>
      <c r="G12" s="19" t="s">
        <v>140</v>
      </c>
      <c r="H12" s="18" t="s">
        <v>22</v>
      </c>
      <c r="I12" s="18"/>
      <c r="J12" s="18" t="s">
        <v>23</v>
      </c>
      <c r="K12" s="37" t="s">
        <v>141</v>
      </c>
      <c r="L12" s="21" t="s">
        <v>142</v>
      </c>
      <c r="M12" s="22" t="s">
        <v>143</v>
      </c>
      <c r="N12" s="22" t="s">
        <v>144</v>
      </c>
      <c r="O12" s="21"/>
      <c r="P12" s="21" t="s">
        <v>145</v>
      </c>
      <c r="Q12" s="14">
        <v>1</v>
      </c>
      <c r="R12" s="14"/>
      <c r="S12" s="14"/>
      <c r="T12" s="14"/>
      <c r="U12" s="15" t="str">
        <f t="shared" si="0"/>
        <v>Small</v>
      </c>
      <c r="V12" s="28" t="s">
        <v>24</v>
      </c>
      <c r="W12" s="29" t="s">
        <v>24</v>
      </c>
    </row>
    <row r="13" spans="1:107" ht="135" x14ac:dyDescent="0.2">
      <c r="A13" s="24" t="s">
        <v>147</v>
      </c>
      <c r="B13" s="17" t="s">
        <v>146</v>
      </c>
      <c r="C13" s="16" t="s">
        <v>57</v>
      </c>
      <c r="D13" s="27" t="s">
        <v>148</v>
      </c>
      <c r="E13" s="19" t="s">
        <v>120</v>
      </c>
      <c r="F13" s="19" t="s">
        <v>121</v>
      </c>
      <c r="G13" s="19" t="s">
        <v>149</v>
      </c>
      <c r="H13" s="19" t="s">
        <v>150</v>
      </c>
      <c r="I13" s="19"/>
      <c r="J13" s="20" t="s">
        <v>23</v>
      </c>
      <c r="K13" s="37" t="s">
        <v>151</v>
      </c>
      <c r="L13" s="21" t="s">
        <v>152</v>
      </c>
      <c r="M13" s="21" t="s">
        <v>153</v>
      </c>
      <c r="N13" s="21" t="s">
        <v>154</v>
      </c>
      <c r="O13" s="21" t="s">
        <v>155</v>
      </c>
      <c r="P13" s="21" t="s">
        <v>54</v>
      </c>
      <c r="Q13" s="14"/>
      <c r="R13" s="14"/>
      <c r="S13" s="14"/>
      <c r="T13" s="14"/>
      <c r="U13" s="15" t="str">
        <f t="shared" si="0"/>
        <v/>
      </c>
      <c r="V13" s="28" t="s">
        <v>24</v>
      </c>
      <c r="W13" s="29" t="s">
        <v>24</v>
      </c>
    </row>
    <row r="14" spans="1:107" ht="112" x14ac:dyDescent="0.2">
      <c r="A14" s="32" t="s">
        <v>163</v>
      </c>
      <c r="B14" s="17" t="s">
        <v>164</v>
      </c>
      <c r="C14" s="16" t="s">
        <v>57</v>
      </c>
      <c r="D14" s="27" t="s">
        <v>165</v>
      </c>
      <c r="E14" s="19" t="s">
        <v>60</v>
      </c>
      <c r="F14" s="19" t="s">
        <v>166</v>
      </c>
      <c r="G14" s="19" t="s">
        <v>62</v>
      </c>
      <c r="H14" s="19" t="s">
        <v>62</v>
      </c>
      <c r="I14" s="18"/>
      <c r="J14" s="18" t="s">
        <v>25</v>
      </c>
      <c r="K14" s="37"/>
      <c r="L14" s="21" t="s">
        <v>165</v>
      </c>
      <c r="M14" s="21"/>
      <c r="N14" s="21"/>
      <c r="O14" s="21"/>
      <c r="P14" s="21"/>
      <c r="Q14" s="14"/>
      <c r="R14" s="14"/>
      <c r="S14" s="14"/>
      <c r="T14" s="33"/>
      <c r="U14" s="15" t="str">
        <f t="shared" ref="U14:U21" si="1">IF(Q14=1,"Small",IF(R14=1,"Medium",IF(S14=1,"Large",IF(T14=1,"X-Large",""))))</f>
        <v/>
      </c>
      <c r="V14" s="34" t="s">
        <v>167</v>
      </c>
      <c r="W14" s="34" t="s">
        <v>167</v>
      </c>
    </row>
    <row r="15" spans="1:107" ht="150" x14ac:dyDescent="0.2">
      <c r="A15" s="23" t="s">
        <v>28</v>
      </c>
      <c r="B15" s="17" t="s">
        <v>168</v>
      </c>
      <c r="C15" s="16" t="s">
        <v>57</v>
      </c>
      <c r="D15" s="27" t="s">
        <v>29</v>
      </c>
      <c r="E15" s="19" t="s">
        <v>30</v>
      </c>
      <c r="F15" s="19" t="s">
        <v>157</v>
      </c>
      <c r="G15" s="19" t="s">
        <v>31</v>
      </c>
      <c r="H15" s="18" t="s">
        <v>32</v>
      </c>
      <c r="I15" s="18"/>
      <c r="J15" s="18" t="s">
        <v>25</v>
      </c>
      <c r="K15" s="37" t="s">
        <v>33</v>
      </c>
      <c r="L15" s="21" t="s">
        <v>34</v>
      </c>
      <c r="M15" s="21" t="s">
        <v>35</v>
      </c>
      <c r="N15" s="21" t="s">
        <v>36</v>
      </c>
      <c r="O15" s="21" t="s">
        <v>37</v>
      </c>
      <c r="P15" s="21" t="s">
        <v>38</v>
      </c>
      <c r="Q15" s="14"/>
      <c r="R15" s="14"/>
      <c r="S15" s="14"/>
      <c r="T15" s="14"/>
      <c r="U15" s="15" t="str">
        <f t="shared" si="1"/>
        <v/>
      </c>
      <c r="V15" s="28" t="s">
        <v>24</v>
      </c>
      <c r="W15" s="29" t="s">
        <v>24</v>
      </c>
    </row>
    <row r="16" spans="1:107" ht="150" x14ac:dyDescent="0.2">
      <c r="A16" s="23" t="s">
        <v>39</v>
      </c>
      <c r="B16" s="17" t="s">
        <v>169</v>
      </c>
      <c r="C16" s="16" t="s">
        <v>57</v>
      </c>
      <c r="D16" s="27" t="s">
        <v>40</v>
      </c>
      <c r="E16" s="19" t="s">
        <v>30</v>
      </c>
      <c r="F16" s="19"/>
      <c r="G16" s="19" t="s">
        <v>31</v>
      </c>
      <c r="H16" s="18" t="s">
        <v>32</v>
      </c>
      <c r="I16" s="18"/>
      <c r="J16" s="18" t="s">
        <v>23</v>
      </c>
      <c r="K16" s="37" t="s">
        <v>41</v>
      </c>
      <c r="L16" s="21" t="s">
        <v>34</v>
      </c>
      <c r="M16" s="21" t="s">
        <v>35</v>
      </c>
      <c r="N16" s="21" t="s">
        <v>36</v>
      </c>
      <c r="O16" s="21" t="s">
        <v>37</v>
      </c>
      <c r="P16" s="21" t="s">
        <v>38</v>
      </c>
      <c r="Q16" s="14"/>
      <c r="R16" s="14"/>
      <c r="S16" s="14">
        <v>1</v>
      </c>
      <c r="T16" s="14"/>
      <c r="U16" s="15" t="str">
        <f t="shared" si="1"/>
        <v>Large</v>
      </c>
      <c r="V16" s="28" t="s">
        <v>24</v>
      </c>
      <c r="W16" s="29" t="s">
        <v>24</v>
      </c>
    </row>
    <row r="17" spans="1:23" ht="180" x14ac:dyDescent="0.2">
      <c r="A17" s="23" t="s">
        <v>42</v>
      </c>
      <c r="B17" s="17" t="s">
        <v>170</v>
      </c>
      <c r="C17" s="16" t="s">
        <v>57</v>
      </c>
      <c r="D17" s="27" t="s">
        <v>43</v>
      </c>
      <c r="E17" s="19" t="s">
        <v>30</v>
      </c>
      <c r="F17" s="19" t="s">
        <v>44</v>
      </c>
      <c r="G17" s="19"/>
      <c r="H17" s="20" t="s">
        <v>45</v>
      </c>
      <c r="I17" s="20"/>
      <c r="J17" s="20" t="s">
        <v>25</v>
      </c>
      <c r="K17" s="37" t="s">
        <v>46</v>
      </c>
      <c r="L17" s="21" t="s">
        <v>47</v>
      </c>
      <c r="M17" s="21" t="s">
        <v>48</v>
      </c>
      <c r="N17" s="21" t="s">
        <v>49</v>
      </c>
      <c r="O17" s="21"/>
      <c r="P17" s="21" t="s">
        <v>26</v>
      </c>
      <c r="Q17" s="14">
        <v>1</v>
      </c>
      <c r="R17" s="14"/>
      <c r="S17" s="14"/>
      <c r="T17" s="14"/>
      <c r="U17" s="15" t="str">
        <f t="shared" si="1"/>
        <v>Small</v>
      </c>
      <c r="V17" s="28" t="s">
        <v>24</v>
      </c>
      <c r="W17" s="29" t="s">
        <v>24</v>
      </c>
    </row>
    <row r="18" spans="1:23" ht="154" x14ac:dyDescent="0.2">
      <c r="A18" s="23" t="s">
        <v>50</v>
      </c>
      <c r="B18" s="17" t="s">
        <v>171</v>
      </c>
      <c r="C18" s="16" t="s">
        <v>57</v>
      </c>
      <c r="D18" s="27" t="s">
        <v>51</v>
      </c>
      <c r="E18" s="19" t="s">
        <v>30</v>
      </c>
      <c r="F18" s="19" t="s">
        <v>52</v>
      </c>
      <c r="G18" s="19" t="s">
        <v>31</v>
      </c>
      <c r="H18" s="18" t="s">
        <v>32</v>
      </c>
      <c r="I18" s="31" t="s">
        <v>159</v>
      </c>
      <c r="J18" s="18" t="s">
        <v>25</v>
      </c>
      <c r="K18" s="37" t="s">
        <v>53</v>
      </c>
      <c r="L18" s="21" t="s">
        <v>34</v>
      </c>
      <c r="M18" s="21" t="s">
        <v>35</v>
      </c>
      <c r="N18" s="21" t="s">
        <v>36</v>
      </c>
      <c r="O18" s="21" t="s">
        <v>37</v>
      </c>
      <c r="P18" s="21" t="s">
        <v>38</v>
      </c>
      <c r="Q18" s="14"/>
      <c r="R18" s="14"/>
      <c r="S18" s="14">
        <v>1</v>
      </c>
      <c r="T18" s="14"/>
      <c r="U18" s="15" t="str">
        <f t="shared" si="1"/>
        <v>Large</v>
      </c>
      <c r="V18" s="28" t="s">
        <v>24</v>
      </c>
      <c r="W18" s="29" t="s">
        <v>24</v>
      </c>
    </row>
    <row r="19" spans="1:23" ht="44" x14ac:dyDescent="0.2">
      <c r="A19" s="32" t="s">
        <v>172</v>
      </c>
      <c r="B19" s="17" t="s">
        <v>173</v>
      </c>
      <c r="C19" s="16" t="s">
        <v>57</v>
      </c>
      <c r="D19" s="27" t="s">
        <v>189</v>
      </c>
      <c r="E19" s="19" t="s">
        <v>30</v>
      </c>
      <c r="F19" s="19" t="s">
        <v>44</v>
      </c>
      <c r="G19" s="19" t="s">
        <v>180</v>
      </c>
      <c r="H19" s="18" t="s">
        <v>178</v>
      </c>
      <c r="I19" s="38"/>
      <c r="J19" s="18" t="s">
        <v>23</v>
      </c>
      <c r="K19" s="37" t="s">
        <v>182</v>
      </c>
      <c r="L19" s="27" t="s">
        <v>179</v>
      </c>
      <c r="M19" s="21" t="s">
        <v>183</v>
      </c>
      <c r="N19" s="21" t="s">
        <v>185</v>
      </c>
      <c r="O19" s="21"/>
      <c r="P19" s="21" t="s">
        <v>26</v>
      </c>
      <c r="Q19" s="14">
        <v>1</v>
      </c>
      <c r="R19" s="14"/>
      <c r="S19" s="14"/>
      <c r="T19" s="33"/>
      <c r="U19" s="15" t="str">
        <f t="shared" si="1"/>
        <v>Small</v>
      </c>
      <c r="V19" s="34" t="s">
        <v>187</v>
      </c>
      <c r="W19" s="34" t="s">
        <v>187</v>
      </c>
    </row>
    <row r="20" spans="1:23" ht="110" x14ac:dyDescent="0.2">
      <c r="A20" s="40" t="s">
        <v>174</v>
      </c>
      <c r="B20" s="41" t="s">
        <v>175</v>
      </c>
      <c r="C20" s="42" t="s">
        <v>57</v>
      </c>
      <c r="D20" s="43" t="s">
        <v>188</v>
      </c>
      <c r="E20" s="44" t="s">
        <v>30</v>
      </c>
      <c r="F20" s="44" t="s">
        <v>177</v>
      </c>
      <c r="G20" s="44"/>
      <c r="H20" s="52" t="s">
        <v>178</v>
      </c>
      <c r="I20" s="53"/>
      <c r="J20" s="52" t="s">
        <v>23</v>
      </c>
      <c r="K20" s="54" t="s">
        <v>181</v>
      </c>
      <c r="L20" s="43" t="s">
        <v>176</v>
      </c>
      <c r="M20" s="55" t="s">
        <v>186</v>
      </c>
      <c r="N20" s="55" t="s">
        <v>184</v>
      </c>
      <c r="O20" s="55"/>
      <c r="P20" s="55" t="s">
        <v>26</v>
      </c>
      <c r="Q20" s="56">
        <v>1</v>
      </c>
      <c r="R20" s="56"/>
      <c r="S20" s="56"/>
      <c r="T20" s="57"/>
      <c r="U20" s="58" t="str">
        <f t="shared" si="1"/>
        <v>Small</v>
      </c>
      <c r="V20" s="59" t="s">
        <v>187</v>
      </c>
      <c r="W20" s="59" t="s">
        <v>187</v>
      </c>
    </row>
    <row r="21" spans="1:23" s="39" customFormat="1" ht="160" x14ac:dyDescent="0.2">
      <c r="A21" s="45" t="s">
        <v>190</v>
      </c>
      <c r="B21" s="46" t="s">
        <v>191</v>
      </c>
      <c r="C21" s="47" t="s">
        <v>57</v>
      </c>
      <c r="D21" s="48" t="s">
        <v>192</v>
      </c>
      <c r="E21" s="49" t="s">
        <v>193</v>
      </c>
      <c r="F21" s="50" t="s">
        <v>194</v>
      </c>
      <c r="G21" s="51" t="s">
        <v>194</v>
      </c>
      <c r="H21" s="51" t="s">
        <v>195</v>
      </c>
      <c r="I21" s="51" t="s">
        <v>196</v>
      </c>
      <c r="J21" s="51" t="s">
        <v>197</v>
      </c>
      <c r="K21" s="60" t="s">
        <v>198</v>
      </c>
      <c r="L21" s="60" t="s">
        <v>199</v>
      </c>
      <c r="M21" s="61" t="s">
        <v>200</v>
      </c>
      <c r="N21" s="62" t="s">
        <v>201</v>
      </c>
      <c r="O21" s="62" t="s">
        <v>202</v>
      </c>
      <c r="P21" s="63" t="s">
        <v>203</v>
      </c>
      <c r="Q21" s="64"/>
      <c r="R21" s="64"/>
      <c r="S21" s="65">
        <v>1</v>
      </c>
      <c r="T21" s="64"/>
      <c r="U21" s="66" t="str">
        <f t="shared" si="1"/>
        <v>Large</v>
      </c>
      <c r="V21" s="67"/>
      <c r="W21" s="67"/>
    </row>
  </sheetData>
  <phoneticPr fontId="2" type="noConversion"/>
  <conditionalFormatting sqref="J1:J20">
    <cfRule type="cellIs" dxfId="2" priority="1" operator="equal">
      <formula>"Restricted"</formula>
    </cfRule>
    <cfRule type="cellIs" dxfId="1" priority="2" operator="equal">
      <formula>"Public"</formula>
    </cfRule>
    <cfRule type="cellIs" dxfId="0" priority="3" operator="equal">
      <formula>"Internal"</formula>
    </cfRule>
  </conditionalFormatting>
  <hyperlinks>
    <hyperlink ref="I18" r:id="rId1" xr:uid="{C9C8A634-B0C1-4C11-8FB9-EDD14FEC4443}"/>
    <hyperlink ref="I4" r:id="rId2" xr:uid="{7967835C-BEB8-49C8-BA57-44CE8ABA17E1}"/>
    <hyperlink ref="I5" r:id="rId3" xr:uid="{E422516A-E18A-467B-A0DF-F12317A4B3EA}"/>
    <hyperlink ref="I10" r:id="rId4" xr:uid="{14B06421-699C-4DE7-A8EC-E5164E6E6915}"/>
  </hyperlinks>
  <pageMargins left="0.7" right="0.7" top="0.75" bottom="0.75" header="0.3" footer="0.3"/>
  <pageSetup orientation="portrait"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69FE739999C447A76F1EF8B3FD66E4" ma:contentTypeVersion="9" ma:contentTypeDescription="Create a new document." ma:contentTypeScope="" ma:versionID="17f439a1c33209d39fc455bb5bf335e2">
  <xsd:schema xmlns:xsd="http://www.w3.org/2001/XMLSchema" xmlns:xs="http://www.w3.org/2001/XMLSchema" xmlns:p="http://schemas.microsoft.com/office/2006/metadata/properties" xmlns:ns3="4655c133-e14e-4d88-8fbc-c3b347145ec5" targetNamespace="http://schemas.microsoft.com/office/2006/metadata/properties" ma:root="true" ma:fieldsID="e9de449e03e13d108e9e7262ffdb384b" ns3:_="">
    <xsd:import namespace="4655c133-e14e-4d88-8fbc-c3b347145ec5"/>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55c133-e14e-4d88-8fbc-c3b347145e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6EA454-4038-4734-8558-774D86C0A7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55c133-e14e-4d88-8fbc-c3b347145e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AA61C7-A158-4CC5-A303-0FCA66669F4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196A18C-DADA-4D2A-8B80-6982C945146E}">
  <ds:schemaRefs>
    <ds:schemaRef ds:uri="http://schemas.microsoft.com/sharepoint/v3/contenttype/forms"/>
  </ds:schemaRefs>
</ds:datastoreItem>
</file>

<file path=docMetadata/LabelInfo.xml><?xml version="1.0" encoding="utf-8"?>
<clbl:labelList xmlns:clbl="http://schemas.microsoft.com/office/2020/mipLabelMetadata">
  <clbl:label id="{e610e79c-2ec0-4e0f-8a14-1e4b101519f7}" enabled="0" method="" siteId="{e610e79c-2ec0-4e0f-8a14-1e4b101519f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PAHO Data Catalog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Gerger, Ms. Andrea (WDC)</dc:creator>
  <cp:keywords/>
  <dc:description/>
  <cp:lastModifiedBy>Julio Ibarra Fiallo</cp:lastModifiedBy>
  <cp:revision/>
  <dcterms:created xsi:type="dcterms:W3CDTF">2020-01-16T16:05:15Z</dcterms:created>
  <dcterms:modified xsi:type="dcterms:W3CDTF">2026-07-15T04:46:06Z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0x0101007C69FE739999C447A76F1EF8B3FD66E4</vt:lpwstr>
  </property>
</Properties>
</file>